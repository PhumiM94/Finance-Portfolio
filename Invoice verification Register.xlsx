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icknpayretailers-my.sharepoint.com/personal/phumzilemabena_pnp_co_za/Documents/Desktop/MY PERSONAL STUFF/UNISA/GitHub 2026/Zile Retailers Pty Ltd/"/>
    </mc:Choice>
  </mc:AlternateContent>
  <xr:revisionPtr revIDLastSave="95" documentId="11_F25DC773A252ABDACC1048E4619943525BDE58EC" xr6:coauthVersionLast="47" xr6:coauthVersionMax="47" xr10:uidLastSave="{FE9D8452-1660-4D7E-862D-5CA5932B7366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E8" i="1"/>
  <c r="D8" i="1"/>
  <c r="G6" i="1"/>
  <c r="G3" i="1"/>
  <c r="G4" i="1"/>
  <c r="G5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<sst xmlns="http://schemas.openxmlformats.org/spreadsheetml/2006/main" count="24" uniqueCount="24">
  <si>
    <t>Invoice No</t>
  </si>
  <si>
    <t>PO No</t>
  </si>
  <si>
    <t>Vendor</t>
  </si>
  <si>
    <t>Invoice Amount</t>
  </si>
  <si>
    <t>PO Amount</t>
  </si>
  <si>
    <t>Difference</t>
  </si>
  <si>
    <t>match</t>
  </si>
  <si>
    <t>INV001</t>
  </si>
  <si>
    <t>INV002</t>
  </si>
  <si>
    <t>INV003</t>
  </si>
  <si>
    <t>INV004</t>
  </si>
  <si>
    <t>INV005</t>
  </si>
  <si>
    <t>PO1001</t>
  </si>
  <si>
    <t>PO1003</t>
  </si>
  <si>
    <t>PO1004</t>
  </si>
  <si>
    <t>PO1005</t>
  </si>
  <si>
    <t>Po1002</t>
  </si>
  <si>
    <t>Abc Stationery</t>
  </si>
  <si>
    <t>Fresh Foods Ltd</t>
  </si>
  <si>
    <t>Office Furniture SA</t>
  </si>
  <si>
    <t>Clean Co</t>
  </si>
  <si>
    <t>Tech Solutions</t>
  </si>
  <si>
    <t>total of matching invoices</t>
  </si>
  <si>
    <t>Total of invoices to investigate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</si>
</sst>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165" fontId="0" fillId="0" borderId="0" xfId="0" applyNumberFormat="1"/>
    <xf numFmtId="0" fontId="0" fillId="0" borderId="0" xfId="0" applyAlignment="1">
      <alignment wrapText="1"/>
    </xf>
    <xf numFmtId="165" fontId="0" fillId="0" borderId="1" xfId="0" applyNumberFormat="1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0" sqref="G10"/>
    </sheetView>
  </sheetViews>
  <sheetFormatPr defaultRowHeight="14.5" x14ac:dyDescent="0.35"/>
  <cols>
    <col min="1" max="1" width="9.54296875" bestFit="1" customWidth="1"/>
    <col min="3" max="3" width="16.54296875" bestFit="1" customWidth="1"/>
    <col min="4" max="4" width="14" bestFit="1" customWidth="1"/>
    <col min="5" max="5" width="12.453125" customWidth="1"/>
    <col min="6" max="6" width="26.1796875" bestFit="1" customWidth="1"/>
    <col min="7" max="7" width="1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12</v>
      </c>
      <c r="C2" t="s">
        <v>17</v>
      </c>
      <c r="D2" s="2">
        <v>2300</v>
      </c>
      <c r="E2" s="2">
        <v>2300</v>
      </c>
      <c r="F2">
        <f>D2-E2</f>
        <v>0</v>
      </c>
      <c r="G2" t="str">
        <f>IF(F2=0,"Match","difference - investigate")</f>
        <v>Match</v>
      </c>
    </row>
    <row r="3" spans="1:7" x14ac:dyDescent="0.35">
      <c r="A3" t="s">
        <v>8</v>
      </c>
      <c r="B3" t="s">
        <v>16</v>
      </c>
      <c r="C3" t="s">
        <v>18</v>
      </c>
      <c r="D3" s="2">
        <v>17250</v>
      </c>
      <c r="E3" s="2">
        <v>17000</v>
      </c>
      <c r="F3">
        <f t="shared" ref="F3:F6" si="0">D3-E3</f>
        <v>250</v>
      </c>
      <c r="G3" t="str">
        <f>IF(F3=0,"Match","investigate")</f>
        <v>investigate</v>
      </c>
    </row>
    <row r="4" spans="1:7" x14ac:dyDescent="0.35">
      <c r="A4" t="s">
        <v>9</v>
      </c>
      <c r="B4" t="s">
        <v>13</v>
      </c>
      <c r="C4" t="s">
        <v>19</v>
      </c>
      <c r="D4" s="2">
        <v>9775</v>
      </c>
      <c r="E4" s="2">
        <v>9775</v>
      </c>
      <c r="F4">
        <f t="shared" si="0"/>
        <v>0</v>
      </c>
      <c r="G4" t="str">
        <f t="shared" ref="G3:G6" si="1">IF(F4=0,"Match","difference - investigate")</f>
        <v>Match</v>
      </c>
    </row>
    <row r="5" spans="1:7" x14ac:dyDescent="0.35">
      <c r="A5" t="s">
        <v>10</v>
      </c>
      <c r="B5" t="s">
        <v>14</v>
      </c>
      <c r="C5" t="s">
        <v>20</v>
      </c>
      <c r="D5" s="2">
        <v>3680</v>
      </c>
      <c r="E5" s="2">
        <v>3680</v>
      </c>
      <c r="F5">
        <f t="shared" si="0"/>
        <v>0</v>
      </c>
      <c r="G5" t="str">
        <f t="shared" si="1"/>
        <v>Match</v>
      </c>
    </row>
    <row r="6" spans="1:7" x14ac:dyDescent="0.35">
      <c r="A6" t="s">
        <v>11</v>
      </c>
      <c r="B6" t="s">
        <v>15</v>
      </c>
      <c r="C6" t="s">
        <v>21</v>
      </c>
      <c r="D6" s="2">
        <v>13800</v>
      </c>
      <c r="E6" s="2">
        <v>14000</v>
      </c>
      <c r="F6">
        <f t="shared" si="0"/>
        <v>-200</v>
      </c>
      <c r="G6" t="str">
        <f>IF(F6=0,"Match","investigate")</f>
        <v>investigate</v>
      </c>
    </row>
    <row r="7" spans="1:7" x14ac:dyDescent="0.35">
      <c r="D7" s="2"/>
      <c r="E7" s="2"/>
    </row>
    <row r="8" spans="1:7" ht="15" thickBot="1" x14ac:dyDescent="0.4">
      <c r="D8" s="4">
        <f>SUM(D2:D6)</f>
        <v>46805</v>
      </c>
      <c r="E8" s="4">
        <f>SUM(E2:E6)</f>
        <v>46755</v>
      </c>
      <c r="F8" s="3" t="s">
        <v>22</v>
      </c>
      <c r="G8">
        <f>COUNTIF(G2:G6,"match")</f>
        <v>3</v>
      </c>
    </row>
    <row r="9" spans="1:7" x14ac:dyDescent="0.35">
      <c r="F9" t="s">
        <v>23</v>
      </c>
      <c r="G9">
        <f>COUNTIF(G3:G7,"investigate")</f>
        <v>2</v>
      </c>
    </row>
  </sheetData>
  <conditionalFormatting sqref="G2:G6">
    <cfRule type="containsText" dxfId="0" priority="3" operator="containsText" text="match">
      <formula>NOT(ISERROR(SEARCH("match",G2)))</formula>
    </cfRule>
    <cfRule type="containsText" dxfId="1" priority="2" operator="containsText" text="difference - investigate">
      <formula>NOT(ISERROR(SEARCH("difference - investigate",G2)))</formula>
    </cfRule>
    <cfRule type="containsText" dxfId="2" priority="1" operator="containsText" text="investigate">
      <formula>NOT(ISERROR(SEARCH("investigate",G2)))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Phumzile Mabena</dc:creator>
  <cp:lastModifiedBy>Phumzile Mabena</cp:lastModifiedBy>
  <dcterms:created xsi:type="dcterms:W3CDTF">2015-06-05T18:17:20Z</dcterms:created>
  <dcterms:modified xsi:type="dcterms:W3CDTF">2026-07-13T16:36:24Z</dcterms:modified>
</cp:coreProperties>
</file>